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5E0BE14A-CDE1-4316-B95A-2EE78D6C1072}" xr6:coauthVersionLast="47" xr6:coauthVersionMax="47" xr10:uidLastSave="{00000000-0000-0000-0000-000000000000}"/>
  <bookViews>
    <workbookView xWindow="-110" yWindow="-110" windowWidth="19420" windowHeight="10300" firstSheet="1" activeTab="1" xr2:uid="{31322FC7-3389-4ABC-B763-EB63D4C58B2F}"/>
  </bookViews>
  <sheets>
    <sheet name="Sheet3" sheetId="3" r:id="rId1"/>
    <sheet name="Dashboard" sheetId="5" r:id="rId2"/>
    <sheet name="Sheet4" sheetId="4" r:id="rId3"/>
    <sheet name="Sheet5" sheetId="8" r:id="rId4"/>
    <sheet name="Sheet6" sheetId="9" r:id="rId5"/>
    <sheet name="Sales_Data" sheetId="1" r:id="rId6"/>
    <sheet name="Summary" sheetId="2" r:id="rId7"/>
  </sheets>
  <externalReferences>
    <externalReference r:id="rId8"/>
  </externalReferenc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7" i="2"/>
  <c r="B4" i="2"/>
  <c r="B3" i="2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<sst xmlns="http://schemas.openxmlformats.org/spreadsheetml/2006/main" count="115" uniqueCount="63">
  <si>
    <t>Order ID</t>
  </si>
  <si>
    <t>order date</t>
  </si>
  <si>
    <t>customer</t>
  </si>
  <si>
    <t>product</t>
  </si>
  <si>
    <t>Quantity</t>
  </si>
  <si>
    <t>Unit price</t>
  </si>
  <si>
    <t>Total sales</t>
  </si>
  <si>
    <t>cost</t>
  </si>
  <si>
    <t>profit</t>
  </si>
  <si>
    <t>category</t>
  </si>
  <si>
    <t>salesperson</t>
  </si>
  <si>
    <t>region</t>
  </si>
  <si>
    <t>ORDOO1</t>
  </si>
  <si>
    <t>ORDOO2</t>
  </si>
  <si>
    <t>ORDOO3</t>
  </si>
  <si>
    <t>ORDOO4</t>
  </si>
  <si>
    <t>ORDOO5</t>
  </si>
  <si>
    <t>ORDOO6</t>
  </si>
  <si>
    <t>ORDOO7</t>
  </si>
  <si>
    <t>ORDOO8</t>
  </si>
  <si>
    <t>ORDOO9</t>
  </si>
  <si>
    <t>ORDOO10</t>
  </si>
  <si>
    <t>16/9/2026</t>
  </si>
  <si>
    <t>14/9/2026</t>
  </si>
  <si>
    <t>Mara safaries</t>
  </si>
  <si>
    <t>Kenya fresh</t>
  </si>
  <si>
    <t>Narok Hotel</t>
  </si>
  <si>
    <t>Maasai tours</t>
  </si>
  <si>
    <t>Rift supplies</t>
  </si>
  <si>
    <t>Mara lodge</t>
  </si>
  <si>
    <t>Laptop</t>
  </si>
  <si>
    <t>printer</t>
  </si>
  <si>
    <t>monitor</t>
  </si>
  <si>
    <t>phone</t>
  </si>
  <si>
    <t xml:space="preserve">Desk </t>
  </si>
  <si>
    <t>chair</t>
  </si>
  <si>
    <t>Electronics</t>
  </si>
  <si>
    <t>Office equipment</t>
  </si>
  <si>
    <t>Phone</t>
  </si>
  <si>
    <t>Furniture</t>
  </si>
  <si>
    <t>John</t>
  </si>
  <si>
    <t>Jane</t>
  </si>
  <si>
    <t>Peter</t>
  </si>
  <si>
    <t>Mary</t>
  </si>
  <si>
    <t>Nairobi</t>
  </si>
  <si>
    <t>Nakuru</t>
  </si>
  <si>
    <t>Narok</t>
  </si>
  <si>
    <t>Eldoret</t>
  </si>
  <si>
    <t>MaraTechsupplies LTD.</t>
  </si>
  <si>
    <t>Total cost</t>
  </si>
  <si>
    <t>Total profit</t>
  </si>
  <si>
    <t>Number of orders</t>
  </si>
  <si>
    <t>Total unit sold</t>
  </si>
  <si>
    <t>Row Labels</t>
  </si>
  <si>
    <t>Grand Total</t>
  </si>
  <si>
    <t>Sum of Total sales</t>
  </si>
  <si>
    <t>Maratech supplies Ltd.</t>
  </si>
  <si>
    <t>Sales performance dashbord</t>
  </si>
  <si>
    <t>TOTAL SALES</t>
  </si>
  <si>
    <t>TOTAL PROFIT</t>
  </si>
  <si>
    <t>UNITS SOLD</t>
  </si>
  <si>
    <t>ORDERS</t>
  </si>
  <si>
    <t>1, 173,000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</si>
</sst>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0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5">
    <dxf>
      <numFmt numFmtId="19" formatCode="m/d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[Mara_Tech_sales_analysis.xlsx..xlsx]Sheet3!PivotTable1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phone</c:v>
                </c:pt>
                <c:pt idx="1">
                  <c:v>Laptop</c:v>
                </c:pt>
                <c:pt idx="2">
                  <c:v>monitor</c:v>
                </c:pt>
                <c:pt idx="3">
                  <c:v>printer</c:v>
                </c:pt>
                <c:pt idx="4">
                  <c:v>Desk </c:v>
                </c:pt>
                <c:pt idx="5">
                  <c:v>chair</c:v>
                </c:pt>
              </c:strCache>
            </c:strRef>
          </c:cat>
          <c:val>
            <c:numRef>
              <c:f>Sheet3!$B$4:$B$10</c:f>
              <c:numCache>
                <c:formatCode>#,##0</c:formatCode>
                <c:ptCount val="6"/>
                <c:pt idx="0">
                  <c:v>385000</c:v>
                </c:pt>
                <c:pt idx="1">
                  <c:v>325000</c:v>
                </c:pt>
                <c:pt idx="2">
                  <c:v>198000</c:v>
                </c:pt>
                <c:pt idx="3">
                  <c:v>90000</c:v>
                </c:pt>
                <c:pt idx="4">
                  <c:v>90000</c:v>
                </c:pt>
                <c:pt idx="5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0-460B-81E8-65DB6145F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722063"/>
        <c:axId val="1101765663"/>
      </c:barChart>
      <c:catAx>
        <c:axId val="113772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65663"/>
        <c:crosses val="autoZero"/>
        <c:auto val="1"/>
        <c:lblAlgn val="ctr"/>
        <c:lblOffset val="100"/>
        <c:noMultiLvlLbl val="0"/>
      </c:catAx>
      <c:valAx>
        <c:axId val="110176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72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[Mara_Tech_sales_analysis.xlsx..xlsx]Sheet3!PivotTable1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Salse</a:t>
            </a:r>
            <a:r>
              <a:rPr lang="en-US" sz="1800" b="1" baseline="0"/>
              <a:t> by product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phone</c:v>
                </c:pt>
                <c:pt idx="1">
                  <c:v>Laptop</c:v>
                </c:pt>
                <c:pt idx="2">
                  <c:v>monitor</c:v>
                </c:pt>
                <c:pt idx="3">
                  <c:v>printer</c:v>
                </c:pt>
                <c:pt idx="4">
                  <c:v>Desk </c:v>
                </c:pt>
                <c:pt idx="5">
                  <c:v>chair</c:v>
                </c:pt>
              </c:strCache>
            </c:strRef>
          </c:cat>
          <c:val>
            <c:numRef>
              <c:f>Sheet3!$B$4:$B$10</c:f>
              <c:numCache>
                <c:formatCode>#,##0</c:formatCode>
                <c:ptCount val="6"/>
                <c:pt idx="0">
                  <c:v>385000</c:v>
                </c:pt>
                <c:pt idx="1">
                  <c:v>325000</c:v>
                </c:pt>
                <c:pt idx="2">
                  <c:v>198000</c:v>
                </c:pt>
                <c:pt idx="3">
                  <c:v>90000</c:v>
                </c:pt>
                <c:pt idx="4">
                  <c:v>90000</c:v>
                </c:pt>
                <c:pt idx="5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6-46DF-A25A-FC8C1A096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3135"/>
        <c:axId val="1101734463"/>
      </c:barChart>
      <c:catAx>
        <c:axId val="110231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34463"/>
        <c:crosses val="autoZero"/>
        <c:auto val="1"/>
        <c:lblAlgn val="ctr"/>
        <c:lblOffset val="100"/>
        <c:noMultiLvlLbl val="0"/>
      </c:catAx>
      <c:valAx>
        <c:axId val="11017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1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[Mara_Tech_sales_analysis.xlsx..xlsx]Sheet4!PivotTable2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16/9/2026</c:v>
                </c:pt>
                <c:pt idx="1">
                  <c:v>7/9/2026</c:v>
                </c:pt>
                <c:pt idx="2">
                  <c:v>4/9/2026</c:v>
                </c:pt>
                <c:pt idx="3">
                  <c:v>1/9/2026</c:v>
                </c:pt>
                <c:pt idx="4">
                  <c:v>3/9/2026</c:v>
                </c:pt>
                <c:pt idx="5">
                  <c:v>5/9/2026</c:v>
                </c:pt>
                <c:pt idx="6">
                  <c:v>14/9/2026</c:v>
                </c:pt>
                <c:pt idx="7">
                  <c:v>9/9/2026</c:v>
                </c:pt>
                <c:pt idx="8">
                  <c:v>2/9/2026</c:v>
                </c:pt>
                <c:pt idx="9">
                  <c:v>11/9/2026</c:v>
                </c:pt>
              </c:strCache>
            </c:strRef>
          </c:cat>
          <c:val>
            <c:numRef>
              <c:f>Sheet4!$B$4:$B$14</c:f>
              <c:numCache>
                <c:formatCode>#,##0</c:formatCode>
                <c:ptCount val="10"/>
                <c:pt idx="0">
                  <c:v>245000</c:v>
                </c:pt>
                <c:pt idx="1">
                  <c:v>195000</c:v>
                </c:pt>
                <c:pt idx="2">
                  <c:v>140000</c:v>
                </c:pt>
                <c:pt idx="3">
                  <c:v>130000</c:v>
                </c:pt>
                <c:pt idx="4">
                  <c:v>110000</c:v>
                </c:pt>
                <c:pt idx="5">
                  <c:v>90000</c:v>
                </c:pt>
                <c:pt idx="6">
                  <c:v>88000</c:v>
                </c:pt>
                <c:pt idx="7">
                  <c:v>85000</c:v>
                </c:pt>
                <c:pt idx="8">
                  <c:v>54000</c:v>
                </c:pt>
                <c:pt idx="9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C-403F-86BD-47F055ACA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309983"/>
        <c:axId val="1101734943"/>
      </c:barChart>
      <c:catAx>
        <c:axId val="10443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34943"/>
        <c:crosses val="autoZero"/>
        <c:auto val="1"/>
        <c:lblAlgn val="ctr"/>
        <c:lblOffset val="100"/>
        <c:noMultiLvlLbl val="0"/>
      </c:catAx>
      <c:valAx>
        <c:axId val="11017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0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[Mara_Tech_sales_analysis.xlsx..xlsx]Sheet5!PivotTable3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Eldoret</c:v>
                </c:pt>
                <c:pt idx="1">
                  <c:v>Nairobi</c:v>
                </c:pt>
                <c:pt idx="2">
                  <c:v>Nakuru</c:v>
                </c:pt>
                <c:pt idx="3">
                  <c:v>Narok</c:v>
                </c:pt>
              </c:strCache>
            </c:strRef>
          </c:cat>
          <c:val>
            <c:numRef>
              <c:f>Sheet5!$B$4:$B$8</c:f>
              <c:numCache>
                <c:formatCode>#,##0</c:formatCode>
                <c:ptCount val="4"/>
                <c:pt idx="0">
                  <c:v>335000</c:v>
                </c:pt>
                <c:pt idx="1">
                  <c:v>358000</c:v>
                </c:pt>
                <c:pt idx="2">
                  <c:v>139000</c:v>
                </c:pt>
                <c:pt idx="3">
                  <c:v>341000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5-4AD6-AA3A-5E60A7465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299215"/>
        <c:axId val="983470015"/>
      </c:barChart>
      <c:catAx>
        <c:axId val="110229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70015"/>
        <c:crosses val="autoZero"/>
        <c:auto val="1"/>
        <c:lblAlgn val="ctr"/>
        <c:lblOffset val="100"/>
        <c:noMultiLvlLbl val="0"/>
      </c:catAx>
      <c:valAx>
        <c:axId val="9834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[Mara_Tech_sales_analysis.xlsx..xlsx]Sheet6!PivotTable4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Salseperson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Sheet6!$A$4:$A$8</c:f>
              <c:strCache>
                <c:ptCount val="4"/>
                <c:pt idx="0">
                  <c:v>Jane</c:v>
                </c:pt>
                <c:pt idx="1">
                  <c:v>John</c:v>
                </c:pt>
                <c:pt idx="2">
                  <c:v>Mary</c:v>
                </c:pt>
                <c:pt idx="3">
                  <c:v>Peter</c:v>
                </c:pt>
              </c:strCache>
            </c:strRef>
          </c:cat>
          <c:val>
            <c:numRef>
              <c:f>Sheet6!$B$4:$B$8</c:f>
              <c:numCache>
                <c:formatCode>#,##0</c:formatCode>
                <c:ptCount val="4"/>
                <c:pt idx="0">
                  <c:v>139000</c:v>
                </c:pt>
                <c:pt idx="1">
                  <c:v>358000</c:v>
                </c:pt>
                <c:pt idx="2">
                  <c:v>126000</c:v>
                </c:pt>
                <c:pt idx="3">
                  <c:v>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2-4CBF-B2FC-C8597785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304800</xdr:colOff>
      <xdr:row>21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0A9ED2-87EA-47CF-8E39-AEEC1D3D2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2</xdr:col>
      <xdr:colOff>596900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43704-DABD-4DD0-BDC8-CFE7C871E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101600</xdr:rowOff>
    </xdr:from>
    <xdr:to>
      <xdr:col>3</xdr:col>
      <xdr:colOff>12700</xdr:colOff>
      <xdr:row>32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67F351-B5EC-4EF9-8DB0-A9A91A8BE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6</xdr:row>
      <xdr:rowOff>177800</xdr:rowOff>
    </xdr:from>
    <xdr:to>
      <xdr:col>8</xdr:col>
      <xdr:colOff>25400</xdr:colOff>
      <xdr:row>18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4F49E9-073F-4BBF-8217-BD09E4286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21</xdr:row>
      <xdr:rowOff>12700</xdr:rowOff>
    </xdr:from>
    <xdr:to>
      <xdr:col>8</xdr:col>
      <xdr:colOff>6350</xdr:colOff>
      <xdr:row>33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80C547-C1D3-4BF5-80BF-ACEFC6DEE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se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Data"/>
      <sheetName val="salse_data"/>
    </sheetNames>
    <sheetDataSet>
      <sheetData sheetId="0">
        <row r="2">
          <cell r="A2" t="str">
            <v>ORDOO1</v>
          </cell>
          <cell r="H2">
            <v>2</v>
          </cell>
          <cell r="J2">
            <v>130000</v>
          </cell>
          <cell r="K2">
            <v>91000</v>
          </cell>
          <cell r="L2">
            <v>39000</v>
          </cell>
        </row>
        <row r="3">
          <cell r="A3" t="str">
            <v>ORDOO2</v>
          </cell>
          <cell r="H3">
            <v>3</v>
          </cell>
          <cell r="J3">
            <v>54000</v>
          </cell>
          <cell r="K3">
            <v>37800</v>
          </cell>
          <cell r="L3">
            <v>16200</v>
          </cell>
        </row>
        <row r="4">
          <cell r="A4" t="str">
            <v>ORDOO3</v>
          </cell>
          <cell r="H4">
            <v>5</v>
          </cell>
          <cell r="J4">
            <v>110000</v>
          </cell>
          <cell r="K4">
            <v>77000</v>
          </cell>
          <cell r="L4">
            <v>33000</v>
          </cell>
        </row>
        <row r="5">
          <cell r="A5" t="str">
            <v>ORDOO4</v>
          </cell>
          <cell r="H5">
            <v>4</v>
          </cell>
          <cell r="J5">
            <v>140000</v>
          </cell>
          <cell r="K5">
            <v>98000</v>
          </cell>
          <cell r="L5">
            <v>42000</v>
          </cell>
        </row>
        <row r="6">
          <cell r="A6" t="str">
            <v>ORDOO5</v>
          </cell>
          <cell r="H6">
            <v>6</v>
          </cell>
          <cell r="J6">
            <v>90000</v>
          </cell>
          <cell r="K6">
            <v>62999.999999999993</v>
          </cell>
          <cell r="L6">
            <v>27000.000000000007</v>
          </cell>
        </row>
        <row r="7">
          <cell r="A7" t="str">
            <v>ORDOO6</v>
          </cell>
          <cell r="H7">
            <v>3</v>
          </cell>
          <cell r="J7">
            <v>195000</v>
          </cell>
          <cell r="K7">
            <v>136500</v>
          </cell>
          <cell r="L7">
            <v>58500</v>
          </cell>
        </row>
        <row r="8">
          <cell r="A8" t="str">
            <v>ORDOO7</v>
          </cell>
          <cell r="H8">
            <v>10</v>
          </cell>
          <cell r="J8">
            <v>85000</v>
          </cell>
          <cell r="K8">
            <v>59499.999999999993</v>
          </cell>
          <cell r="L8">
            <v>25500.000000000007</v>
          </cell>
        </row>
        <row r="9">
          <cell r="A9" t="str">
            <v>ORDOO8</v>
          </cell>
          <cell r="H9">
            <v>2</v>
          </cell>
          <cell r="J9">
            <v>36000</v>
          </cell>
          <cell r="K9">
            <v>25200</v>
          </cell>
          <cell r="L9">
            <v>10800</v>
          </cell>
        </row>
        <row r="10">
          <cell r="A10" t="str">
            <v>ORDOO9</v>
          </cell>
          <cell r="H10">
            <v>4</v>
          </cell>
          <cell r="J10">
            <v>88000</v>
          </cell>
          <cell r="K10">
            <v>61599.999999999993</v>
          </cell>
          <cell r="L10">
            <v>26400.000000000007</v>
          </cell>
        </row>
        <row r="11">
          <cell r="A11" t="str">
            <v>ORDOO10</v>
          </cell>
          <cell r="H11">
            <v>7</v>
          </cell>
          <cell r="J11">
            <v>245000</v>
          </cell>
          <cell r="K11">
            <v>171500</v>
          </cell>
          <cell r="L11">
            <v>73500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97.669186342595" createdVersion="8" refreshedVersion="8" minRefreshableVersion="3" recordCount="10" xr:uid="{7C84FBEE-8CFD-4B4C-B646-C27119E5402A}">
  <cacheSource type="worksheet">
    <worksheetSource name="Table1"/>
  </cacheSource>
  <cacheFields count="12">
    <cacheField name="Order ID" numFmtId="0">
      <sharedItems/>
    </cacheField>
    <cacheField name="order date" numFmtId="14">
      <sharedItems containsDate="1" containsMixedTypes="1" minDate="2026-01-09T00:00:00" maxDate="2026-11-10T00:00:00" count="10">
        <d v="2026-01-09T00:00:00"/>
        <d v="2026-02-09T00:00:00"/>
        <d v="2026-03-09T00:00:00"/>
        <d v="2026-04-09T00:00:00"/>
        <d v="2026-05-09T00:00:00"/>
        <d v="2026-07-09T00:00:00"/>
        <d v="2026-09-09T00:00:00"/>
        <d v="2026-11-09T00:00:00"/>
        <s v="14/9/2026"/>
        <s v="16/9/2026"/>
      </sharedItems>
    </cacheField>
    <cacheField name="customer" numFmtId="0">
      <sharedItems/>
    </cacheField>
    <cacheField name="product" numFmtId="0">
      <sharedItems count="6">
        <s v="Laptop"/>
        <s v="printer"/>
        <s v="monitor"/>
        <s v="phone"/>
        <s v="Desk "/>
        <s v="chair"/>
      </sharedItems>
    </cacheField>
    <cacheField name="category" numFmtId="0">
      <sharedItems count="3">
        <s v="Electronics"/>
        <s v="Office equipment"/>
        <s v="Furniture"/>
      </sharedItems>
    </cacheField>
    <cacheField name="salesperson" numFmtId="0">
      <sharedItems count="4">
        <s v="John"/>
        <s v="Jane"/>
        <s v="Peter"/>
        <s v="Mary"/>
      </sharedItems>
    </cacheField>
    <cacheField name="region" numFmtId="0">
      <sharedItems count="4">
        <s v="Nairobi"/>
        <s v="Nakuru"/>
        <s v="Narok"/>
        <s v="Eldoret"/>
      </sharedItems>
    </cacheField>
    <cacheField name="Quantity" numFmtId="0">
      <sharedItems containsSemiMixedTypes="0" containsString="0" containsNumber="1" containsInteger="1" minValue="2" maxValue="10"/>
    </cacheField>
    <cacheField name="Unit price" numFmtId="3">
      <sharedItems containsSemiMixedTypes="0" containsString="0" containsNumber="1" containsInteger="1" minValue="8500" maxValue="65000"/>
    </cacheField>
    <cacheField name="Total sales" numFmtId="3">
      <sharedItems containsSemiMixedTypes="0" containsString="0" containsNumber="1" containsInteger="1" minValue="36000" maxValue="245000"/>
    </cacheField>
    <cacheField name="cost" numFmtId="3">
      <sharedItems containsSemiMixedTypes="0" containsString="0" containsNumber="1" minValue="25200" maxValue="171500"/>
    </cacheField>
    <cacheField name="profit" numFmtId="3">
      <sharedItems containsSemiMixedTypes="0" containsString="0" containsNumber="1" minValue="10800" maxValue="7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OO1"/>
    <x v="0"/>
    <s v="Mara safaries"/>
    <x v="0"/>
    <x v="0"/>
    <x v="0"/>
    <x v="0"/>
    <n v="2"/>
    <n v="65000"/>
    <n v="130000"/>
    <n v="91000"/>
    <n v="39000"/>
  </r>
  <r>
    <s v="ORDOO2"/>
    <x v="1"/>
    <s v="Kenya fresh"/>
    <x v="1"/>
    <x v="1"/>
    <x v="1"/>
    <x v="1"/>
    <n v="3"/>
    <n v="18000"/>
    <n v="54000"/>
    <n v="37800"/>
    <n v="16200"/>
  </r>
  <r>
    <s v="ORDOO3"/>
    <x v="2"/>
    <s v="Narok Hotel"/>
    <x v="2"/>
    <x v="0"/>
    <x v="2"/>
    <x v="2"/>
    <n v="5"/>
    <n v="22000"/>
    <n v="110000"/>
    <n v="77000"/>
    <n v="33000"/>
  </r>
  <r>
    <s v="ORDOO4"/>
    <x v="3"/>
    <s v="Maasai tours"/>
    <x v="3"/>
    <x v="0"/>
    <x v="0"/>
    <x v="0"/>
    <n v="4"/>
    <n v="35000"/>
    <n v="140000"/>
    <n v="98000"/>
    <n v="42000"/>
  </r>
  <r>
    <s v="ORDOO5"/>
    <x v="4"/>
    <s v="Rift supplies"/>
    <x v="4"/>
    <x v="2"/>
    <x v="3"/>
    <x v="3"/>
    <n v="6"/>
    <n v="15000"/>
    <n v="90000"/>
    <n v="62999.999999999993"/>
    <n v="27000.000000000007"/>
  </r>
  <r>
    <s v="ORDOO6"/>
    <x v="5"/>
    <s v="Mara lodge"/>
    <x v="0"/>
    <x v="0"/>
    <x v="2"/>
    <x v="2"/>
    <n v="3"/>
    <n v="65000"/>
    <n v="195000"/>
    <n v="136500"/>
    <n v="58500"/>
  </r>
  <r>
    <s v="ORDOO7"/>
    <x v="6"/>
    <s v="Kenya fresh"/>
    <x v="5"/>
    <x v="2"/>
    <x v="1"/>
    <x v="1"/>
    <n v="10"/>
    <n v="8500"/>
    <n v="85000"/>
    <n v="59499.999999999993"/>
    <n v="25500.000000000007"/>
  </r>
  <r>
    <s v="ORDOO8"/>
    <x v="7"/>
    <s v="Narok Hotel"/>
    <x v="1"/>
    <x v="1"/>
    <x v="3"/>
    <x v="2"/>
    <n v="2"/>
    <n v="18000"/>
    <n v="36000"/>
    <n v="25200"/>
    <n v="10800"/>
  </r>
  <r>
    <s v="ORDOO9"/>
    <x v="8"/>
    <s v="Maasai tours"/>
    <x v="2"/>
    <x v="0"/>
    <x v="0"/>
    <x v="0"/>
    <n v="4"/>
    <n v="22000"/>
    <n v="88000"/>
    <n v="61599.999999999993"/>
    <n v="26400.000000000007"/>
  </r>
  <r>
    <s v="ORDOO10"/>
    <x v="9"/>
    <s v="Rift supplies"/>
    <x v="3"/>
    <x v="0"/>
    <x v="2"/>
    <x v="3"/>
    <n v="7"/>
    <n v="35000"/>
    <n v="245000"/>
    <n v="171500"/>
    <n v="7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A2D36-899D-453F-B4D9-8C28DDAEC71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10" firstHeaderRow="1" firstDataRow="1" firstDataCol="1"/>
  <pivotFields count="12">
    <pivotField showAll="0"/>
    <pivotField showAll="0">
      <items count="11">
        <item x="8"/>
        <item x="9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 sortType="descending">
      <items count="7">
        <item x="5"/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dataField="1" numFmtId="3" showAll="0"/>
    <pivotField numFmtId="3" showAll="0"/>
    <pivotField numFmtId="3" showAll="0"/>
  </pivotFields>
  <rowFields count="1">
    <field x="3"/>
  </rowFields>
  <rowItems count="7">
    <i>
      <x v="4"/>
    </i>
    <i>
      <x v="2"/>
    </i>
    <i>
      <x v="3"/>
    </i>
    <i>
      <x v="5"/>
    </i>
    <i>
      <x v="1"/>
    </i>
    <i>
      <x/>
    </i>
    <i t="grand">
      <x/>
    </i>
  </rowItems>
  <colItems count="1">
    <i/>
  </colItems>
  <dataFields count="1">
    <dataField name="Sum of Total sales" fld="9" baseField="0" baseItem="0" numFmtId="3"/>
  </dataField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31891-3542-42F1-95EB-CD120F3C1E7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12">
    <pivotField showAll="0"/>
    <pivotField axis="axisRow" showAll="0" sortType="descending">
      <items count="11">
        <item x="8"/>
        <item x="9"/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3" showAll="0"/>
    <pivotField numFmtId="3" showAll="0"/>
    <pivotField numFmtId="3" showAll="0"/>
  </pivotFields>
  <rowFields count="1">
    <field x="1"/>
  </rowFields>
  <rowItems count="11">
    <i>
      <x v="1"/>
    </i>
    <i>
      <x v="7"/>
    </i>
    <i>
      <x v="5"/>
    </i>
    <i>
      <x v="2"/>
    </i>
    <i>
      <x v="4"/>
    </i>
    <i>
      <x v="6"/>
    </i>
    <i>
      <x/>
    </i>
    <i>
      <x v="8"/>
    </i>
    <i>
      <x v="3"/>
    </i>
    <i>
      <x v="9"/>
    </i>
    <i t="grand">
      <x/>
    </i>
  </rowItems>
  <colItems count="1">
    <i/>
  </colItems>
  <dataFields count="1">
    <dataField name="Sum of Total sales" fld="9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67802-6365-4501-A6ED-4E161DFE70B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3" showAll="0"/>
    <pivotField dataField="1" numFmtId="3" showAll="0"/>
    <pivotField numFmtId="3" showAll="0"/>
    <pivotField numFmtId="3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F1DC2-0A61-4F34-880D-3D8643EE4D9B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numFmtId="3" showAll="0"/>
    <pivotField dataField="1" numFmtId="3" showAll="0"/>
    <pivotField numFmtId="3" showAll="0"/>
    <pivotField numFmtId="3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3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F5736-06D4-4F80-ADA6-6176CC58DC80}" name="Table1" displayName="Table1" ref="A1:L11" totalsRowShown="0">
  <autoFilter ref="A1:L11" xr:uid="{47DF5736-06D4-4F80-ADA6-6176CC58DC80}"/>
  <tableColumns count="12">
    <tableColumn id="1" xr3:uid="{201DC5A0-80AA-4403-ADEE-702CEFD5D660}" name="Order ID"/>
    <tableColumn id="2" xr3:uid="{CA159643-6A3E-4463-B83E-5291BE5F483A}" name="order date" dataDxfId="0"/>
    <tableColumn id="3" xr3:uid="{384CCBA1-CFF3-4114-A3A9-ADBF1F0043BD}" name="customer"/>
    <tableColumn id="4" xr3:uid="{95F84ED3-E752-49C1-A2BA-7DB4DE6D2606}" name="product"/>
    <tableColumn id="5" xr3:uid="{22D8ADDF-D431-4EB9-85EB-6130A9249E75}" name="category"/>
    <tableColumn id="6" xr3:uid="{C427875C-D882-43BA-9C99-C63B0C5CA58D}" name="salesperson"/>
    <tableColumn id="7" xr3:uid="{17064CB0-AC4E-4F27-8D0F-2DB31E1E1801}" name="region"/>
    <tableColumn id="8" xr3:uid="{1B1C7F46-8318-4827-9CAF-3DF8890FF1C9}" name="Quantity"/>
    <tableColumn id="9" xr3:uid="{27649C95-2F06-469F-9B68-C8A34308A581}" name="Unit price" dataDxfId="4"/>
    <tableColumn id="10" xr3:uid="{9BF641FE-4071-4184-B2A1-D04C82226B3A}" name="Total sales" dataDxfId="3">
      <calculatedColumnFormula>H2*I2</calculatedColumnFormula>
    </tableColumn>
    <tableColumn id="11" xr3:uid="{DC61C167-F3CB-4310-9B2C-09E15BB71D35}" name="cost" dataDxfId="2">
      <calculatedColumnFormula>J2*70%</calculatedColumnFormula>
    </tableColumn>
    <tableColumn id="12" xr3:uid="{55FA66DC-49D4-4E6E-8678-26E941EBA0AD}" name="profit" dataDxfId="1">
      <calculatedColumnFormula>J2-K2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9C67-3A21-4DB8-80CD-B20D71CDE070}">
  <dimension ref="A3:B10"/>
  <sheetViews>
    <sheetView topLeftCell="A18" workbookViewId="0">
      <selection activeCell="F8" sqref="F8"/>
    </sheetView>
  </sheetViews>
  <sheetFormatPr defaultRowHeight="14.5" x14ac:dyDescent="0.35"/>
  <cols>
    <col min="1" max="1" width="12.36328125" bestFit="1" customWidth="1"/>
    <col min="2" max="2" width="16" bestFit="1" customWidth="1"/>
  </cols>
  <sheetData>
    <row r="3" spans="1:2" x14ac:dyDescent="0.35">
      <c r="A3" s="3" t="s">
        <v>53</v>
      </c>
      <c r="B3" t="s">
        <v>55</v>
      </c>
    </row>
    <row r="4" spans="1:2" x14ac:dyDescent="0.35">
      <c r="A4" s="4" t="s">
        <v>33</v>
      </c>
      <c r="B4" s="2">
        <v>385000</v>
      </c>
    </row>
    <row r="5" spans="1:2" x14ac:dyDescent="0.35">
      <c r="A5" s="4" t="s">
        <v>30</v>
      </c>
      <c r="B5" s="2">
        <v>325000</v>
      </c>
    </row>
    <row r="6" spans="1:2" x14ac:dyDescent="0.35">
      <c r="A6" s="4" t="s">
        <v>32</v>
      </c>
      <c r="B6" s="2">
        <v>198000</v>
      </c>
    </row>
    <row r="7" spans="1:2" x14ac:dyDescent="0.35">
      <c r="A7" s="4" t="s">
        <v>31</v>
      </c>
      <c r="B7" s="2">
        <v>90000</v>
      </c>
    </row>
    <row r="8" spans="1:2" x14ac:dyDescent="0.35">
      <c r="A8" s="4" t="s">
        <v>34</v>
      </c>
      <c r="B8" s="2">
        <v>90000</v>
      </c>
    </row>
    <row r="9" spans="1:2" x14ac:dyDescent="0.35">
      <c r="A9" s="4" t="s">
        <v>35</v>
      </c>
      <c r="B9" s="2">
        <v>85000</v>
      </c>
    </row>
    <row r="10" spans="1:2" x14ac:dyDescent="0.35">
      <c r="A10" s="4" t="s">
        <v>54</v>
      </c>
      <c r="B10" s="2">
        <v>1173000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CF00-4965-4EBE-BFDB-AAB4E0A10977}">
  <dimension ref="A1:L6"/>
  <sheetViews>
    <sheetView tabSelected="1" zoomScale="80" zoomScaleNormal="80" workbookViewId="0">
      <selection activeCell="A2" sqref="A2:C2"/>
    </sheetView>
  </sheetViews>
  <sheetFormatPr defaultRowHeight="14.5" x14ac:dyDescent="0.35"/>
  <cols>
    <col min="1" max="1" width="25" bestFit="1" customWidth="1"/>
    <col min="4" max="4" width="12.54296875" bestFit="1" customWidth="1"/>
    <col min="7" max="7" width="10.6328125" bestFit="1" customWidth="1"/>
  </cols>
  <sheetData>
    <row r="1" spans="1:12" ht="21" x14ac:dyDescent="0.5">
      <c r="A1" s="22" t="s">
        <v>56</v>
      </c>
    </row>
    <row r="2" spans="1:12" ht="23.5" x14ac:dyDescent="0.55000000000000004">
      <c r="A2" s="6" t="s">
        <v>57</v>
      </c>
      <c r="B2" s="6"/>
      <c r="C2" s="6"/>
    </row>
    <row r="4" spans="1:12" ht="23.5" x14ac:dyDescent="0.55000000000000004">
      <c r="A4" s="7" t="s">
        <v>58</v>
      </c>
      <c r="B4" s="8"/>
      <c r="C4" s="9"/>
      <c r="D4" s="7" t="s">
        <v>59</v>
      </c>
      <c r="E4" s="8"/>
      <c r="F4" s="9"/>
      <c r="G4" s="7" t="s">
        <v>60</v>
      </c>
      <c r="H4" s="8"/>
      <c r="I4" s="9"/>
      <c r="J4" s="7" t="s">
        <v>61</v>
      </c>
      <c r="K4" s="8"/>
      <c r="L4" s="9"/>
    </row>
    <row r="5" spans="1:12" ht="14.5" customHeight="1" x14ac:dyDescent="0.35">
      <c r="A5" s="10" t="s">
        <v>62</v>
      </c>
      <c r="B5" s="11"/>
      <c r="C5" s="12"/>
      <c r="D5" s="16">
        <v>351900</v>
      </c>
      <c r="E5" s="17"/>
      <c r="F5" s="18"/>
      <c r="G5" s="10">
        <v>46</v>
      </c>
      <c r="H5" s="11"/>
      <c r="I5" s="12"/>
      <c r="J5" s="10">
        <v>10</v>
      </c>
      <c r="K5" s="11"/>
      <c r="L5" s="12"/>
    </row>
    <row r="6" spans="1:12" ht="14.5" customHeight="1" x14ac:dyDescent="0.35">
      <c r="A6" s="13"/>
      <c r="B6" s="14"/>
      <c r="C6" s="15"/>
      <c r="D6" s="19"/>
      <c r="E6" s="20"/>
      <c r="F6" s="21"/>
      <c r="G6" s="13"/>
      <c r="H6" s="14"/>
      <c r="I6" s="15"/>
      <c r="J6" s="13"/>
      <c r="K6" s="14"/>
      <c r="L6" s="15"/>
    </row>
  </sheetData>
  <mergeCells count="9">
    <mergeCell ref="J4:L4"/>
    <mergeCell ref="J5:L6"/>
    <mergeCell ref="A2:C2"/>
    <mergeCell ref="A4:C4"/>
    <mergeCell ref="D4:F4"/>
    <mergeCell ref="A5:C6"/>
    <mergeCell ref="D5:F6"/>
    <mergeCell ref="G4:I4"/>
    <mergeCell ref="G5:I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F595-9BD7-412F-8435-DC754277D13E}">
  <dimension ref="A3:B14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6" bestFit="1" customWidth="1"/>
  </cols>
  <sheetData>
    <row r="3" spans="1:2" x14ac:dyDescent="0.35">
      <c r="A3" s="3" t="s">
        <v>53</v>
      </c>
      <c r="B3" t="s">
        <v>55</v>
      </c>
    </row>
    <row r="4" spans="1:2" x14ac:dyDescent="0.35">
      <c r="A4" s="4" t="s">
        <v>22</v>
      </c>
      <c r="B4" s="2">
        <v>245000</v>
      </c>
    </row>
    <row r="5" spans="1:2" x14ac:dyDescent="0.35">
      <c r="A5" s="5">
        <v>46212</v>
      </c>
      <c r="B5" s="2">
        <v>195000</v>
      </c>
    </row>
    <row r="6" spans="1:2" x14ac:dyDescent="0.35">
      <c r="A6" s="5">
        <v>46121</v>
      </c>
      <c r="B6" s="2">
        <v>140000</v>
      </c>
    </row>
    <row r="7" spans="1:2" x14ac:dyDescent="0.35">
      <c r="A7" s="5">
        <v>46031</v>
      </c>
      <c r="B7" s="2">
        <v>130000</v>
      </c>
    </row>
    <row r="8" spans="1:2" x14ac:dyDescent="0.35">
      <c r="A8" s="5">
        <v>46090</v>
      </c>
      <c r="B8" s="2">
        <v>110000</v>
      </c>
    </row>
    <row r="9" spans="1:2" x14ac:dyDescent="0.35">
      <c r="A9" s="5">
        <v>46151</v>
      </c>
      <c r="B9" s="2">
        <v>90000</v>
      </c>
    </row>
    <row r="10" spans="1:2" x14ac:dyDescent="0.35">
      <c r="A10" s="4" t="s">
        <v>23</v>
      </c>
      <c r="B10" s="2">
        <v>88000</v>
      </c>
    </row>
    <row r="11" spans="1:2" x14ac:dyDescent="0.35">
      <c r="A11" s="5">
        <v>46274</v>
      </c>
      <c r="B11" s="2">
        <v>85000</v>
      </c>
    </row>
    <row r="12" spans="1:2" x14ac:dyDescent="0.35">
      <c r="A12" s="5">
        <v>46062</v>
      </c>
      <c r="B12" s="2">
        <v>54000</v>
      </c>
    </row>
    <row r="13" spans="1:2" x14ac:dyDescent="0.35">
      <c r="A13" s="5">
        <v>46335</v>
      </c>
      <c r="B13" s="2">
        <v>36000</v>
      </c>
    </row>
    <row r="14" spans="1:2" x14ac:dyDescent="0.35">
      <c r="A14" s="4" t="s">
        <v>54</v>
      </c>
      <c r="B14" s="2">
        <v>1173000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E9CF-B432-4C33-85CE-2C30FE361CB8}">
  <dimension ref="A3:B8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6" bestFit="1" customWidth="1"/>
  </cols>
  <sheetData>
    <row r="3" spans="1:2" x14ac:dyDescent="0.35">
      <c r="A3" s="3" t="s">
        <v>53</v>
      </c>
      <c r="B3" t="s">
        <v>55</v>
      </c>
    </row>
    <row r="4" spans="1:2" x14ac:dyDescent="0.35">
      <c r="A4" s="4" t="s">
        <v>47</v>
      </c>
      <c r="B4" s="2">
        <v>335000</v>
      </c>
    </row>
    <row r="5" spans="1:2" x14ac:dyDescent="0.35">
      <c r="A5" s="4" t="s">
        <v>44</v>
      </c>
      <c r="B5" s="2">
        <v>358000</v>
      </c>
    </row>
    <row r="6" spans="1:2" x14ac:dyDescent="0.35">
      <c r="A6" s="4" t="s">
        <v>45</v>
      </c>
      <c r="B6" s="2">
        <v>139000</v>
      </c>
    </row>
    <row r="7" spans="1:2" x14ac:dyDescent="0.35">
      <c r="A7" s="4" t="s">
        <v>46</v>
      </c>
      <c r="B7" s="2">
        <v>341000</v>
      </c>
    </row>
    <row r="8" spans="1:2" x14ac:dyDescent="0.35">
      <c r="A8" s="4" t="s">
        <v>54</v>
      </c>
      <c r="B8" s="2">
        <v>1173000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3232-041B-46E6-899E-F6B4796B3F06}">
  <dimension ref="A3:B8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6" bestFit="1" customWidth="1"/>
  </cols>
  <sheetData>
    <row r="3" spans="1:2" x14ac:dyDescent="0.35">
      <c r="A3" s="3" t="s">
        <v>53</v>
      </c>
      <c r="B3" t="s">
        <v>55</v>
      </c>
    </row>
    <row r="4" spans="1:2" x14ac:dyDescent="0.35">
      <c r="A4" s="4" t="s">
        <v>41</v>
      </c>
      <c r="B4" s="2">
        <v>139000</v>
      </c>
    </row>
    <row r="5" spans="1:2" x14ac:dyDescent="0.35">
      <c r="A5" s="4" t="s">
        <v>40</v>
      </c>
      <c r="B5" s="2">
        <v>358000</v>
      </c>
    </row>
    <row r="6" spans="1:2" x14ac:dyDescent="0.35">
      <c r="A6" s="4" t="s">
        <v>43</v>
      </c>
      <c r="B6" s="2">
        <v>126000</v>
      </c>
    </row>
    <row r="7" spans="1:2" x14ac:dyDescent="0.35">
      <c r="A7" s="4" t="s">
        <v>42</v>
      </c>
      <c r="B7" s="2">
        <v>550000</v>
      </c>
    </row>
    <row r="8" spans="1:2" x14ac:dyDescent="0.35">
      <c r="A8" s="4" t="s">
        <v>54</v>
      </c>
      <c r="B8" s="2">
        <v>1173000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1D2F-CF6F-4F9F-8F34-2AC1EE536034}">
  <dimension ref="A1:L11"/>
  <sheetViews>
    <sheetView workbookViewId="0">
      <selection activeCell="C2" sqref="C2"/>
    </sheetView>
  </sheetViews>
  <sheetFormatPr defaultRowHeight="14.5" x14ac:dyDescent="0.35"/>
  <cols>
    <col min="1" max="1" width="10" customWidth="1"/>
    <col min="2" max="2" width="11.7265625" customWidth="1"/>
    <col min="3" max="3" width="12.1796875" bestFit="1" customWidth="1"/>
    <col min="4" max="4" width="9.453125" customWidth="1"/>
    <col min="5" max="5" width="15.36328125" bestFit="1" customWidth="1"/>
    <col min="6" max="6" width="12.7265625" customWidth="1"/>
    <col min="8" max="8" width="10.1796875" customWidth="1"/>
    <col min="9" max="9" width="10.90625" customWidth="1"/>
    <col min="10" max="10" width="11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11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5">
      <c r="A2" t="s">
        <v>12</v>
      </c>
      <c r="B2" s="1">
        <v>46031</v>
      </c>
      <c r="C2" t="s">
        <v>24</v>
      </c>
      <c r="D2" t="s">
        <v>30</v>
      </c>
      <c r="E2" t="s">
        <v>36</v>
      </c>
      <c r="F2" t="s">
        <v>40</v>
      </c>
      <c r="G2" t="s">
        <v>44</v>
      </c>
      <c r="H2">
        <v>2</v>
      </c>
      <c r="I2" s="2">
        <v>65000</v>
      </c>
      <c r="J2" s="2">
        <f>H2*I2</f>
        <v>130000</v>
      </c>
      <c r="K2" s="2">
        <f>J2*70%</f>
        <v>91000</v>
      </c>
      <c r="L2" s="2">
        <f>J2-K2</f>
        <v>39000</v>
      </c>
    </row>
    <row r="3" spans="1:12" x14ac:dyDescent="0.35">
      <c r="A3" t="s">
        <v>13</v>
      </c>
      <c r="B3" s="1">
        <v>46062</v>
      </c>
      <c r="C3" t="s">
        <v>25</v>
      </c>
      <c r="D3" t="s">
        <v>31</v>
      </c>
      <c r="E3" t="s">
        <v>37</v>
      </c>
      <c r="F3" t="s">
        <v>41</v>
      </c>
      <c r="G3" t="s">
        <v>45</v>
      </c>
      <c r="H3">
        <v>3</v>
      </c>
      <c r="I3" s="2">
        <v>18000</v>
      </c>
      <c r="J3" s="2">
        <f t="shared" ref="J3:J11" si="0">H3*I3</f>
        <v>54000</v>
      </c>
      <c r="K3" s="2">
        <f t="shared" ref="K3:K11" si="1">J3*70%</f>
        <v>37800</v>
      </c>
      <c r="L3" s="2">
        <f t="shared" ref="L3:L11" si="2">J3-K3</f>
        <v>16200</v>
      </c>
    </row>
    <row r="4" spans="1:12" x14ac:dyDescent="0.35">
      <c r="A4" t="s">
        <v>14</v>
      </c>
      <c r="B4" s="1">
        <v>46090</v>
      </c>
      <c r="C4" t="s">
        <v>26</v>
      </c>
      <c r="D4" t="s">
        <v>32</v>
      </c>
      <c r="E4" t="s">
        <v>36</v>
      </c>
      <c r="F4" t="s">
        <v>42</v>
      </c>
      <c r="G4" t="s">
        <v>46</v>
      </c>
      <c r="H4">
        <v>5</v>
      </c>
      <c r="I4" s="2">
        <v>22000</v>
      </c>
      <c r="J4" s="2">
        <f t="shared" si="0"/>
        <v>110000</v>
      </c>
      <c r="K4" s="2">
        <f t="shared" si="1"/>
        <v>77000</v>
      </c>
      <c r="L4" s="2">
        <f t="shared" si="2"/>
        <v>33000</v>
      </c>
    </row>
    <row r="5" spans="1:12" x14ac:dyDescent="0.35">
      <c r="A5" t="s">
        <v>15</v>
      </c>
      <c r="B5" s="1">
        <v>46121</v>
      </c>
      <c r="C5" t="s">
        <v>27</v>
      </c>
      <c r="D5" t="s">
        <v>33</v>
      </c>
      <c r="E5" t="s">
        <v>36</v>
      </c>
      <c r="F5" t="s">
        <v>40</v>
      </c>
      <c r="G5" t="s">
        <v>44</v>
      </c>
      <c r="H5">
        <v>4</v>
      </c>
      <c r="I5" s="2">
        <v>35000</v>
      </c>
      <c r="J5" s="2">
        <f t="shared" si="0"/>
        <v>140000</v>
      </c>
      <c r="K5" s="2">
        <f t="shared" si="1"/>
        <v>98000</v>
      </c>
      <c r="L5" s="2">
        <f t="shared" si="2"/>
        <v>42000</v>
      </c>
    </row>
    <row r="6" spans="1:12" x14ac:dyDescent="0.35">
      <c r="A6" t="s">
        <v>16</v>
      </c>
      <c r="B6" s="1">
        <v>46151</v>
      </c>
      <c r="C6" t="s">
        <v>28</v>
      </c>
      <c r="D6" t="s">
        <v>34</v>
      </c>
      <c r="E6" t="s">
        <v>39</v>
      </c>
      <c r="F6" t="s">
        <v>43</v>
      </c>
      <c r="G6" t="s">
        <v>47</v>
      </c>
      <c r="H6">
        <v>6</v>
      </c>
      <c r="I6" s="2">
        <v>15000</v>
      </c>
      <c r="J6" s="2">
        <f t="shared" si="0"/>
        <v>90000</v>
      </c>
      <c r="K6" s="2">
        <f t="shared" si="1"/>
        <v>62999.999999999993</v>
      </c>
      <c r="L6" s="2">
        <f t="shared" si="2"/>
        <v>27000.000000000007</v>
      </c>
    </row>
    <row r="7" spans="1:12" x14ac:dyDescent="0.35">
      <c r="A7" t="s">
        <v>17</v>
      </c>
      <c r="B7" s="1">
        <v>46212</v>
      </c>
      <c r="C7" t="s">
        <v>29</v>
      </c>
      <c r="D7" t="s">
        <v>30</v>
      </c>
      <c r="E7" t="s">
        <v>36</v>
      </c>
      <c r="F7" t="s">
        <v>42</v>
      </c>
      <c r="G7" t="s">
        <v>46</v>
      </c>
      <c r="H7">
        <v>3</v>
      </c>
      <c r="I7" s="2">
        <v>65000</v>
      </c>
      <c r="J7" s="2">
        <f t="shared" si="0"/>
        <v>195000</v>
      </c>
      <c r="K7" s="2">
        <f t="shared" si="1"/>
        <v>136500</v>
      </c>
      <c r="L7" s="2">
        <f t="shared" si="2"/>
        <v>58500</v>
      </c>
    </row>
    <row r="8" spans="1:12" x14ac:dyDescent="0.35">
      <c r="A8" t="s">
        <v>18</v>
      </c>
      <c r="B8" s="1">
        <v>46274</v>
      </c>
      <c r="C8" t="s">
        <v>25</v>
      </c>
      <c r="D8" t="s">
        <v>35</v>
      </c>
      <c r="E8" t="s">
        <v>39</v>
      </c>
      <c r="F8" t="s">
        <v>41</v>
      </c>
      <c r="G8" t="s">
        <v>45</v>
      </c>
      <c r="H8">
        <v>10</v>
      </c>
      <c r="I8" s="2">
        <v>8500</v>
      </c>
      <c r="J8" s="2">
        <f t="shared" si="0"/>
        <v>85000</v>
      </c>
      <c r="K8" s="2">
        <f t="shared" si="1"/>
        <v>59499.999999999993</v>
      </c>
      <c r="L8" s="2">
        <f t="shared" si="2"/>
        <v>25500.000000000007</v>
      </c>
    </row>
    <row r="9" spans="1:12" x14ac:dyDescent="0.35">
      <c r="A9" t="s">
        <v>19</v>
      </c>
      <c r="B9" s="1">
        <v>46335</v>
      </c>
      <c r="C9" t="s">
        <v>26</v>
      </c>
      <c r="D9" t="s">
        <v>31</v>
      </c>
      <c r="E9" t="s">
        <v>37</v>
      </c>
      <c r="F9" t="s">
        <v>43</v>
      </c>
      <c r="G9" t="s">
        <v>46</v>
      </c>
      <c r="H9">
        <v>2</v>
      </c>
      <c r="I9" s="2">
        <v>18000</v>
      </c>
      <c r="J9" s="2">
        <f t="shared" si="0"/>
        <v>36000</v>
      </c>
      <c r="K9" s="2">
        <f t="shared" si="1"/>
        <v>25200</v>
      </c>
      <c r="L9" s="2">
        <f t="shared" si="2"/>
        <v>10800</v>
      </c>
    </row>
    <row r="10" spans="1:12" x14ac:dyDescent="0.35">
      <c r="A10" t="s">
        <v>20</v>
      </c>
      <c r="B10" s="1" t="s">
        <v>23</v>
      </c>
      <c r="C10" t="s">
        <v>27</v>
      </c>
      <c r="D10" t="s">
        <v>32</v>
      </c>
      <c r="E10" t="s">
        <v>36</v>
      </c>
      <c r="F10" t="s">
        <v>40</v>
      </c>
      <c r="G10" t="s">
        <v>44</v>
      </c>
      <c r="H10">
        <v>4</v>
      </c>
      <c r="I10" s="2">
        <v>22000</v>
      </c>
      <c r="J10" s="2">
        <f t="shared" si="0"/>
        <v>88000</v>
      </c>
      <c r="K10" s="2">
        <f t="shared" si="1"/>
        <v>61599.999999999993</v>
      </c>
      <c r="L10" s="2">
        <f t="shared" si="2"/>
        <v>26400.000000000007</v>
      </c>
    </row>
    <row r="11" spans="1:12" x14ac:dyDescent="0.35">
      <c r="A11" t="s">
        <v>21</v>
      </c>
      <c r="B11" s="1" t="s">
        <v>22</v>
      </c>
      <c r="C11" t="s">
        <v>28</v>
      </c>
      <c r="D11" t="s">
        <v>38</v>
      </c>
      <c r="E11" t="s">
        <v>36</v>
      </c>
      <c r="F11" t="s">
        <v>42</v>
      </c>
      <c r="G11" t="s">
        <v>47</v>
      </c>
      <c r="H11">
        <v>7</v>
      </c>
      <c r="I11" s="2">
        <v>35000</v>
      </c>
      <c r="J11" s="2">
        <f t="shared" si="0"/>
        <v>245000</v>
      </c>
      <c r="K11" s="2">
        <f t="shared" si="1"/>
        <v>171500</v>
      </c>
      <c r="L11" s="2">
        <f t="shared" si="2"/>
        <v>73500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7989-536F-468D-B52A-8BA7B1B84DC0}">
  <dimension ref="A1:B7"/>
  <sheetViews>
    <sheetView workbookViewId="0">
      <selection activeCell="B7" sqref="B7"/>
    </sheetView>
  </sheetViews>
  <sheetFormatPr defaultRowHeight="14.5" x14ac:dyDescent="0.35"/>
  <cols>
    <col min="1" max="1" width="20.26953125" bestFit="1" customWidth="1"/>
  </cols>
  <sheetData>
    <row r="1" spans="1:2" x14ac:dyDescent="0.35">
      <c r="A1" t="s">
        <v>48</v>
      </c>
    </row>
    <row r="3" spans="1:2" x14ac:dyDescent="0.35">
      <c r="A3" t="s">
        <v>6</v>
      </c>
      <c r="B3">
        <f>SUM([1]Sales_Data!J2:J11)</f>
        <v>1173000</v>
      </c>
    </row>
    <row r="4" spans="1:2" x14ac:dyDescent="0.35">
      <c r="A4" t="s">
        <v>49</v>
      </c>
      <c r="B4">
        <f>SUM([1]Sales_Data!K2:K11)</f>
        <v>821100</v>
      </c>
    </row>
    <row r="5" spans="1:2" x14ac:dyDescent="0.35">
      <c r="A5" t="s">
        <v>50</v>
      </c>
      <c r="B5">
        <f>SUM([1]Sales_Data!L2:L11)</f>
        <v>351900</v>
      </c>
    </row>
    <row r="6" spans="1:2" x14ac:dyDescent="0.35">
      <c r="A6" t="s">
        <v>52</v>
      </c>
      <c r="B6">
        <f>SUM([1]Sales_Data!H2:H11)</f>
        <v>46</v>
      </c>
    </row>
    <row r="7" spans="1:2" x14ac:dyDescent="0.35">
      <c r="A7" t="s">
        <v>51</v>
      </c>
      <c r="B7">
        <f>COUNTA([1]Sales_Data!A2:A11)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Dashboard</vt:lpstr>
      <vt:lpstr>Sheet4</vt:lpstr>
      <vt:lpstr>Sheet5</vt:lpstr>
      <vt:lpstr>Sheet6</vt:lpstr>
      <vt:lpstr>Sales_Data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2026-10-02T12:07:08Z</dcterms:created>
  <dcterms:modified xsi:type="dcterms:W3CDTF">2026-10-02T16:34:19Z</dcterms:modified>
</cp:coreProperties>
</file>